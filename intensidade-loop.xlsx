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0" windowHeight="12975"/>
  </bookViews>
  <sheets>
    <sheet name="Página1" sheetId="1" r:id="rId1"/>
  </sheets>
  <calcPr calcId="144525"/>
</workbook>
</file>

<file path=xl/sharedStrings.xml><?xml version="1.0" encoding="utf-8"?>
<sst xmlns="http://schemas.openxmlformats.org/spreadsheetml/2006/main" count="34" uniqueCount="13">
  <si>
    <t>numWorkers</t>
  </si>
  <si>
    <t>loopIntensity</t>
  </si>
  <si>
    <t>Tempo (s) - Java</t>
  </si>
  <si>
    <t>Tempo de seção crítica (s) - Java</t>
  </si>
  <si>
    <t>Throughput (ops/s) - Java</t>
  </si>
  <si>
    <t>CPU (%) - Java</t>
  </si>
  <si>
    <t>Tempo (s) - Go</t>
  </si>
  <si>
    <t>Tempo de seção crítica (s) - Go</t>
  </si>
  <si>
    <t>Throughput (ops/s) - Go</t>
  </si>
  <si>
    <t>CPU (%) - Go</t>
  </si>
  <si>
    <t>Java</t>
  </si>
  <si>
    <t>Go</t>
  </si>
  <si>
    <t>Diferença (%)</t>
  </si>
</sst>
</file>

<file path=xl/styles.xml><?xml version="1.0" encoding="utf-8"?>
<styleSheet xmlns="http://schemas.openxmlformats.org/spreadsheetml/2006/main">
  <numFmts count="7">
    <numFmt numFmtId="176" formatCode="0.0000_ "/>
    <numFmt numFmtId="177" formatCode="0.00_ "/>
    <numFmt numFmtId="178" formatCode="0.00000000_ "/>
    <numFmt numFmtId="179" formatCode="_-&quot;R$&quot;\ * #,##0_-;\-&quot;R$&quot;\ * #,##0_-;_-&quot;R$&quot;\ * &quot;-&quot;_-;_-@_-"/>
    <numFmt numFmtId="180" formatCode="_-* #,##0.00_-;\-* #,##0.00_-;_-* &quot;-&quot;??_-;_-@_-"/>
    <numFmt numFmtId="181" formatCode="_-&quot;R$&quot;\ * #,##0.00_-;\-&quot;R$&quot;\ * #,##0.00_-;_-&quot;R$&quot;\ * &quot;-&quot;??_-;_-@_-"/>
    <numFmt numFmtId="182" formatCode="_-* #,##0_-;\-* #,##0_-;_-* &quot;-&quot;_-;_-@_-"/>
  </numFmts>
  <fonts count="32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0"/>
      <color theme="1"/>
      <name val="Arial"/>
      <charset val="134"/>
      <scheme val="minor"/>
    </font>
    <font>
      <b/>
      <sz val="12"/>
      <color rgb="FF000000"/>
      <name val="Arial"/>
      <charset val="134"/>
      <scheme val="major"/>
    </font>
    <font>
      <b/>
      <sz val="12"/>
      <color rgb="FF000000"/>
      <name val="Arial"/>
      <charset val="134"/>
      <scheme val="minor"/>
    </font>
    <font>
      <sz val="12"/>
      <color rgb="FF000000"/>
      <name val="Arial"/>
      <charset val="134"/>
      <scheme val="major"/>
    </font>
    <font>
      <sz val="12"/>
      <color rgb="FF000000"/>
      <name val="Arial"/>
      <charset val="134"/>
      <scheme val="minor"/>
    </font>
    <font>
      <sz val="12"/>
      <color theme="1"/>
      <name val="Arial"/>
      <charset val="134"/>
      <scheme val="major"/>
    </font>
    <font>
      <b/>
      <sz val="12"/>
      <color theme="1"/>
      <name val="Arial"/>
      <charset val="134"/>
      <scheme val="maj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2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8" fillId="10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1" fillId="5" borderId="5" applyNumberFormat="0" applyAlignment="0" applyProtection="0">
      <alignment vertical="center"/>
    </xf>
    <xf numFmtId="181" fontId="14" fillId="0" borderId="0" applyFon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4" fillId="16" borderId="7" applyNumberFormat="0" applyFon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182" fontId="14" fillId="0" borderId="0" applyFont="0" applyFill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180" fontId="14" fillId="0" borderId="0" applyFont="0" applyFill="0" applyBorder="0" applyAlignment="0" applyProtection="0">
      <alignment vertical="center"/>
    </xf>
    <xf numFmtId="0" fontId="13" fillId="3" borderId="1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3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78" fontId="5" fillId="0" borderId="0" xfId="0" applyNumberFormat="1" applyFont="1" applyFill="1" applyAlignment="1">
      <alignment horizontal="center"/>
    </xf>
    <xf numFmtId="0" fontId="0" fillId="0" borderId="0" xfId="0" applyFont="1" applyFill="1" applyAlignment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178" fontId="7" fillId="0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/>
    </xf>
    <xf numFmtId="176" fontId="5" fillId="0" borderId="0" xfId="0" applyNumberFormat="1" applyFont="1" applyFill="1" applyAlignment="1">
      <alignment horizontal="center"/>
    </xf>
    <xf numFmtId="176" fontId="5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/>
    </xf>
    <xf numFmtId="178" fontId="10" fillId="0" borderId="0" xfId="0" applyNumberFormat="1" applyFont="1" applyAlignment="1">
      <alignment horizontal="center"/>
    </xf>
    <xf numFmtId="0" fontId="10" fillId="0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77" fontId="10" fillId="0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177" fontId="11" fillId="0" borderId="0" xfId="0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178" fontId="10" fillId="0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178" fontId="10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8" fontId="11" fillId="0" borderId="0" xfId="0" applyNumberFormat="1" applyFont="1" applyFill="1" applyAlignment="1">
      <alignment horizontal="center" vertical="center"/>
    </xf>
    <xf numFmtId="177" fontId="0" fillId="0" borderId="0" xfId="0" applyNumberFormat="1" applyFont="1" applyAlignment="1"/>
    <xf numFmtId="177" fontId="10" fillId="0" borderId="0" xfId="0" applyNumberFormat="1" applyFont="1" applyFill="1" applyAlignment="1">
      <alignment horizontal="center" vertical="center"/>
    </xf>
    <xf numFmtId="177" fontId="11" fillId="0" borderId="0" xfId="0" applyNumberFormat="1" applyFont="1" applyFill="1" applyAlignment="1">
      <alignment horizontal="center" vertical="center"/>
    </xf>
    <xf numFmtId="178" fontId="7" fillId="0" borderId="0" xfId="0" applyNumberFormat="1" applyFont="1" applyFill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de conclusão (s)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Página1!$C$2</c:f>
              <c:strCache>
                <c:ptCount val="1"/>
                <c:pt idx="0">
                  <c:v>Java</c:v>
                </c:pt>
              </c:strCache>
            </c:strRef>
          </c:tx>
          <c:spPr>
            <a:ln w="19050" cap="rnd" cmpd="sng" algn="ctr">
              <a:solidFill>
                <a:srgbClr val="FF0000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rgbClr val="FF0000">
                  <a:alpha val="100000"/>
                </a:srgbClr>
              </a:solidFill>
              <a:ln w="6350" cap="flat" cmpd="sng" algn="ctr">
                <a:solidFill>
                  <a:srgbClr val="FF000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Página1!$B$3:$B$19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8129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</c:numCache>
            </c:numRef>
          </c:cat>
          <c:val>
            <c:numRef>
              <c:f>Página1!$C$3:$C$19</c:f>
              <c:numCache>
                <c:formatCode>General</c:formatCode>
                <c:ptCount val="17"/>
                <c:pt idx="0">
                  <c:v>0.21208847</c:v>
                </c:pt>
                <c:pt idx="1">
                  <c:v>0.2413038</c:v>
                </c:pt>
                <c:pt idx="2">
                  <c:v>0.23655354</c:v>
                </c:pt>
                <c:pt idx="3">
                  <c:v>0.23361406</c:v>
                </c:pt>
                <c:pt idx="4">
                  <c:v>0.2144431</c:v>
                </c:pt>
                <c:pt idx="5">
                  <c:v>0.24073599</c:v>
                </c:pt>
                <c:pt idx="6">
                  <c:v>0.25914216</c:v>
                </c:pt>
                <c:pt idx="7">
                  <c:v>0.31221013</c:v>
                </c:pt>
                <c:pt idx="8">
                  <c:v>0.41490579</c:v>
                </c:pt>
                <c:pt idx="9">
                  <c:v>0.57725508</c:v>
                </c:pt>
                <c:pt idx="10">
                  <c:v>0.94915833</c:v>
                </c:pt>
                <c:pt idx="11">
                  <c:v>1.64687989</c:v>
                </c:pt>
                <c:pt idx="12">
                  <c:v>2.96029647</c:v>
                </c:pt>
                <c:pt idx="13">
                  <c:v>5.56528747</c:v>
                </c:pt>
                <c:pt idx="14">
                  <c:v>11.17590762</c:v>
                </c:pt>
                <c:pt idx="15">
                  <c:v>22.49124336</c:v>
                </c:pt>
                <c:pt idx="16">
                  <c:v>44.10187132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Página1!$G$2</c:f>
              <c:strCache>
                <c:ptCount val="1"/>
                <c:pt idx="0">
                  <c:v>Go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Página1!$B$3:$B$19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8129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</c:numCache>
            </c:numRef>
          </c:cat>
          <c:val>
            <c:numRef>
              <c:f>Página1!$G$3:$G$19</c:f>
              <c:numCache>
                <c:formatCode>General</c:formatCode>
                <c:ptCount val="17"/>
                <c:pt idx="0">
                  <c:v>0.51323765</c:v>
                </c:pt>
                <c:pt idx="1">
                  <c:v>0.5173515</c:v>
                </c:pt>
                <c:pt idx="2">
                  <c:v>0.51399727</c:v>
                </c:pt>
                <c:pt idx="3">
                  <c:v>0.51635874</c:v>
                </c:pt>
                <c:pt idx="4">
                  <c:v>0.51646319</c:v>
                </c:pt>
                <c:pt idx="5">
                  <c:v>0.53018054</c:v>
                </c:pt>
                <c:pt idx="6">
                  <c:v>0.54636578</c:v>
                </c:pt>
                <c:pt idx="7">
                  <c:v>0.59933056</c:v>
                </c:pt>
                <c:pt idx="8">
                  <c:v>0.69491033</c:v>
                </c:pt>
                <c:pt idx="9">
                  <c:v>0.86093589</c:v>
                </c:pt>
                <c:pt idx="10">
                  <c:v>1.19574593</c:v>
                </c:pt>
                <c:pt idx="11">
                  <c:v>1.85952751</c:v>
                </c:pt>
                <c:pt idx="12">
                  <c:v>3.17896608</c:v>
                </c:pt>
                <c:pt idx="13">
                  <c:v>5.7823543</c:v>
                </c:pt>
                <c:pt idx="14">
                  <c:v>11.10507709</c:v>
                </c:pt>
                <c:pt idx="15">
                  <c:v>21.87909359</c:v>
                </c:pt>
                <c:pt idx="16">
                  <c:v>43.33169515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536023"/>
        <c:axId val="1144140771"/>
      </c:lineChart>
      <c:catAx>
        <c:axId val="34753602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loopIntensity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44140771"/>
        <c:crosses val="autoZero"/>
        <c:auto val="1"/>
        <c:lblAlgn val="ctr"/>
        <c:lblOffset val="100"/>
        <c:noMultiLvlLbl val="0"/>
      </c:catAx>
      <c:valAx>
        <c:axId val="114414077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(s)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in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347536023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Uso de CPU (%)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Página1!$F$2</c:f>
              <c:strCache>
                <c:ptCount val="1"/>
                <c:pt idx="0">
                  <c:v>Java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Página1!$B$3:$B$19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8129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</c:numCache>
            </c:numRef>
          </c:cat>
          <c:val>
            <c:numRef>
              <c:f>Página1!$F$3:$F$19</c:f>
              <c:numCache>
                <c:formatCode>General</c:formatCode>
                <c:ptCount val="17"/>
                <c:pt idx="0">
                  <c:v>40.5602</c:v>
                </c:pt>
                <c:pt idx="1">
                  <c:v>43.0572</c:v>
                </c:pt>
                <c:pt idx="2">
                  <c:v>42.6386</c:v>
                </c:pt>
                <c:pt idx="3">
                  <c:v>41.653</c:v>
                </c:pt>
                <c:pt idx="4">
                  <c:v>42.1541</c:v>
                </c:pt>
                <c:pt idx="5">
                  <c:v>40.8317</c:v>
                </c:pt>
                <c:pt idx="6">
                  <c:v>38.9543</c:v>
                </c:pt>
                <c:pt idx="7">
                  <c:v>40.0812</c:v>
                </c:pt>
                <c:pt idx="8">
                  <c:v>33.1786</c:v>
                </c:pt>
                <c:pt idx="9">
                  <c:v>25.1494</c:v>
                </c:pt>
                <c:pt idx="10">
                  <c:v>20.3162</c:v>
                </c:pt>
                <c:pt idx="11">
                  <c:v>17.2706</c:v>
                </c:pt>
                <c:pt idx="12">
                  <c:v>15.0859</c:v>
                </c:pt>
                <c:pt idx="13">
                  <c:v>13.7673</c:v>
                </c:pt>
                <c:pt idx="14">
                  <c:v>11.8764</c:v>
                </c:pt>
                <c:pt idx="15">
                  <c:v>7.3007</c:v>
                </c:pt>
                <c:pt idx="16">
                  <c:v>6.8309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Página1!$J$2</c:f>
              <c:strCache>
                <c:ptCount val="1"/>
                <c:pt idx="0">
                  <c:v>Go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Página1!$B$3:$B$19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8129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</c:numCache>
            </c:numRef>
          </c:cat>
          <c:val>
            <c:numRef>
              <c:f>Página1!$J$3:$J$19</c:f>
              <c:numCache>
                <c:formatCode>General</c:formatCode>
                <c:ptCount val="17"/>
                <c:pt idx="0">
                  <c:v>28.649</c:v>
                </c:pt>
                <c:pt idx="1">
                  <c:v>28.8406</c:v>
                </c:pt>
                <c:pt idx="2">
                  <c:v>28.8303</c:v>
                </c:pt>
                <c:pt idx="3">
                  <c:v>28.5788</c:v>
                </c:pt>
                <c:pt idx="4">
                  <c:v>28.6737</c:v>
                </c:pt>
                <c:pt idx="5">
                  <c:v>28.4594</c:v>
                </c:pt>
                <c:pt idx="6">
                  <c:v>27.5141</c:v>
                </c:pt>
                <c:pt idx="7">
                  <c:v>26.7505</c:v>
                </c:pt>
                <c:pt idx="8">
                  <c:v>24.7641</c:v>
                </c:pt>
                <c:pt idx="9">
                  <c:v>22.042</c:v>
                </c:pt>
                <c:pt idx="10">
                  <c:v>18.4726</c:v>
                </c:pt>
                <c:pt idx="11">
                  <c:v>14.8794</c:v>
                </c:pt>
                <c:pt idx="12">
                  <c:v>11.8024</c:v>
                </c:pt>
                <c:pt idx="13">
                  <c:v>9.7553</c:v>
                </c:pt>
                <c:pt idx="14">
                  <c:v>8.4797</c:v>
                </c:pt>
                <c:pt idx="15">
                  <c:v>7.8935</c:v>
                </c:pt>
                <c:pt idx="16">
                  <c:v>7.4402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106855"/>
        <c:axId val="1960847812"/>
      </c:lineChart>
      <c:catAx>
        <c:axId val="170510685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loopIntensity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60847812"/>
        <c:crosses val="autoZero"/>
        <c:auto val="1"/>
        <c:lblAlgn val="ctr"/>
        <c:lblOffset val="100"/>
        <c:noMultiLvlLbl val="0"/>
      </c:catAx>
      <c:valAx>
        <c:axId val="196084781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Uso de CPU (%)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in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05106855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decorrido em seção crítica (s)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Página1!$D$2</c:f>
              <c:strCache>
                <c:ptCount val="1"/>
                <c:pt idx="0">
                  <c:v>Java</c:v>
                </c:pt>
              </c:strCache>
            </c:strRef>
          </c:tx>
          <c:spPr>
            <a:ln w="19050" cap="rnd" cmpd="sng" algn="ctr">
              <a:solidFill>
                <a:srgbClr val="FF0000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rgbClr val="FF0000">
                  <a:alpha val="100000"/>
                </a:srgbClr>
              </a:solidFill>
              <a:ln w="6350" cap="flat" cmpd="sng" algn="ctr">
                <a:solidFill>
                  <a:srgbClr val="FF000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Página1!$B$3:$B$19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8129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</c:numCache>
            </c:numRef>
          </c:cat>
          <c:val>
            <c:numRef>
              <c:f>Página1!$D$3:$D$19</c:f>
              <c:numCache>
                <c:formatCode>General</c:formatCode>
                <c:ptCount val="17"/>
                <c:pt idx="0">
                  <c:v>0.04024872</c:v>
                </c:pt>
                <c:pt idx="1">
                  <c:v>0.05266289</c:v>
                </c:pt>
                <c:pt idx="2">
                  <c:v>0.05187883</c:v>
                </c:pt>
                <c:pt idx="3">
                  <c:v>0.08813572</c:v>
                </c:pt>
                <c:pt idx="4">
                  <c:v>0.07375281</c:v>
                </c:pt>
                <c:pt idx="5">
                  <c:v>0.09601027</c:v>
                </c:pt>
                <c:pt idx="6">
                  <c:v>0.11817451</c:v>
                </c:pt>
                <c:pt idx="7">
                  <c:v>0.16117249</c:v>
                </c:pt>
                <c:pt idx="8">
                  <c:v>0.26168477</c:v>
                </c:pt>
                <c:pt idx="9">
                  <c:v>0.45291945</c:v>
                </c:pt>
                <c:pt idx="10">
                  <c:v>0.85029107</c:v>
                </c:pt>
                <c:pt idx="11">
                  <c:v>1.56162709</c:v>
                </c:pt>
                <c:pt idx="12">
                  <c:v>2.87523129</c:v>
                </c:pt>
                <c:pt idx="13">
                  <c:v>5.47823358</c:v>
                </c:pt>
                <c:pt idx="14">
                  <c:v>10.9198072</c:v>
                </c:pt>
                <c:pt idx="15">
                  <c:v>21.7266979</c:v>
                </c:pt>
                <c:pt idx="16">
                  <c:v>43.33576668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Página1!$H$2</c:f>
              <c:strCache>
                <c:ptCount val="1"/>
                <c:pt idx="0">
                  <c:v>Go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Página1!$B$3:$B$19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8129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</c:numCache>
            </c:numRef>
          </c:cat>
          <c:val>
            <c:numRef>
              <c:f>Página1!$H$3:$H$19</c:f>
              <c:numCache>
                <c:formatCode>General</c:formatCode>
                <c:ptCount val="17"/>
                <c:pt idx="0">
                  <c:v>0.02888475</c:v>
                </c:pt>
                <c:pt idx="1">
                  <c:v>0.02932405</c:v>
                </c:pt>
                <c:pt idx="2">
                  <c:v>0.02986205</c:v>
                </c:pt>
                <c:pt idx="3">
                  <c:v>0.03141186</c:v>
                </c:pt>
                <c:pt idx="4">
                  <c:v>0.0351975</c:v>
                </c:pt>
                <c:pt idx="5">
                  <c:v>0.04690349</c:v>
                </c:pt>
                <c:pt idx="6">
                  <c:v>0.06810926</c:v>
                </c:pt>
                <c:pt idx="7">
                  <c:v>0.11535263</c:v>
                </c:pt>
                <c:pt idx="8">
                  <c:v>0.20386312</c:v>
                </c:pt>
                <c:pt idx="9">
                  <c:v>0.37723052</c:v>
                </c:pt>
                <c:pt idx="10">
                  <c:v>0.71790323</c:v>
                </c:pt>
                <c:pt idx="11">
                  <c:v>1.40039713</c:v>
                </c:pt>
                <c:pt idx="12">
                  <c:v>2.75566681</c:v>
                </c:pt>
                <c:pt idx="13">
                  <c:v>5.42535712</c:v>
                </c:pt>
                <c:pt idx="14">
                  <c:v>10.80698652</c:v>
                </c:pt>
                <c:pt idx="15">
                  <c:v>21.60212092</c:v>
                </c:pt>
                <c:pt idx="16">
                  <c:v>43.06706842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197573"/>
        <c:axId val="107513324"/>
      </c:lineChart>
      <c:catAx>
        <c:axId val="60719757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loopIntensity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7513324"/>
        <c:crosses val="autoZero"/>
        <c:auto val="1"/>
        <c:lblAlgn val="ctr"/>
        <c:lblOffset val="100"/>
        <c:noMultiLvlLbl val="0"/>
      </c:catAx>
      <c:valAx>
        <c:axId val="10751332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(s)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in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07197573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Throughput (operações/s)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Página1!$I$2</c:f>
              <c:strCache>
                <c:ptCount val="1"/>
                <c:pt idx="0">
                  <c:v>Go</c:v>
                </c:pt>
              </c:strCache>
            </c:strRef>
          </c:tx>
          <c:spPr>
            <a:ln w="19050" cap="rnd" cmpd="sng" algn="ctr">
              <a:solidFill>
                <a:srgbClr val="4285F4"/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rgbClr val="4285F4"/>
              </a:solidFill>
              <a:ln w="6350" cap="flat" cmpd="sng" algn="ctr">
                <a:solidFill>
                  <a:srgbClr val="4285F4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Página1!$B$3:$B$19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8129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</c:numCache>
            </c:numRef>
          </c:cat>
          <c:val>
            <c:numRef>
              <c:f>Página1!$I$3:$I$19</c:f>
              <c:numCache>
                <c:formatCode>General</c:formatCode>
                <c:ptCount val="17"/>
                <c:pt idx="0">
                  <c:v>1948415.12</c:v>
                </c:pt>
                <c:pt idx="1">
                  <c:v>1932921.82</c:v>
                </c:pt>
                <c:pt idx="2">
                  <c:v>1945535.62</c:v>
                </c:pt>
                <c:pt idx="3">
                  <c:v>1936638.07</c:v>
                </c:pt>
                <c:pt idx="4">
                  <c:v>1936246.43</c:v>
                </c:pt>
                <c:pt idx="5">
                  <c:v>1886149.96</c:v>
                </c:pt>
                <c:pt idx="6">
                  <c:v>1830275.68</c:v>
                </c:pt>
                <c:pt idx="7">
                  <c:v>1668528.3</c:v>
                </c:pt>
                <c:pt idx="8">
                  <c:v>1439034.58</c:v>
                </c:pt>
                <c:pt idx="9">
                  <c:v>1161526.67</c:v>
                </c:pt>
                <c:pt idx="10">
                  <c:v>836298.06</c:v>
                </c:pt>
                <c:pt idx="11">
                  <c:v>537771.02</c:v>
                </c:pt>
                <c:pt idx="12">
                  <c:v>314567.68</c:v>
                </c:pt>
                <c:pt idx="13">
                  <c:v>172939.94</c:v>
                </c:pt>
                <c:pt idx="14">
                  <c:v>90048.9</c:v>
                </c:pt>
                <c:pt idx="15">
                  <c:v>45705.73</c:v>
                </c:pt>
                <c:pt idx="16">
                  <c:v>23077.8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Página1!$E$2</c:f>
              <c:strCache>
                <c:ptCount val="1"/>
                <c:pt idx="0">
                  <c:v>Java</c:v>
                </c:pt>
              </c:strCache>
            </c:strRef>
          </c:tx>
          <c:spPr>
            <a:ln w="19050" cap="rnd" cmpd="sng" algn="ctr">
              <a:solidFill>
                <a:srgbClr val="EA4335"/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rgbClr val="EA4335"/>
              </a:solidFill>
              <a:ln w="6350" cap="flat" cmpd="sng" algn="ctr">
                <a:solidFill>
                  <a:srgbClr val="EA4335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Página1!$B$3:$B$19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8129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</c:numCache>
            </c:numRef>
          </c:cat>
          <c:val>
            <c:numRef>
              <c:f>Página1!$E$3:$E$19</c:f>
              <c:numCache>
                <c:formatCode>General</c:formatCode>
                <c:ptCount val="17"/>
                <c:pt idx="0">
                  <c:v>4715013.46</c:v>
                </c:pt>
                <c:pt idx="1">
                  <c:v>4397159.68</c:v>
                </c:pt>
                <c:pt idx="2">
                  <c:v>4227372.73</c:v>
                </c:pt>
                <c:pt idx="3">
                  <c:v>4280564.37</c:v>
                </c:pt>
                <c:pt idx="4">
                  <c:v>4663241.62</c:v>
                </c:pt>
                <c:pt idx="5">
                  <c:v>4153928.1</c:v>
                </c:pt>
                <c:pt idx="6">
                  <c:v>3858885.86</c:v>
                </c:pt>
                <c:pt idx="7">
                  <c:v>3202971.02</c:v>
                </c:pt>
                <c:pt idx="8">
                  <c:v>2410185.7</c:v>
                </c:pt>
                <c:pt idx="9">
                  <c:v>1732336.42</c:v>
                </c:pt>
                <c:pt idx="10">
                  <c:v>1053565</c:v>
                </c:pt>
                <c:pt idx="11">
                  <c:v>607208.82</c:v>
                </c:pt>
                <c:pt idx="12">
                  <c:v>337804</c:v>
                </c:pt>
                <c:pt idx="13">
                  <c:v>179685.24</c:v>
                </c:pt>
                <c:pt idx="14">
                  <c:v>89478.19</c:v>
                </c:pt>
                <c:pt idx="15">
                  <c:v>44461.75</c:v>
                </c:pt>
                <c:pt idx="16">
                  <c:v>22674.77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2786874"/>
        <c:axId val="1100452276"/>
      </c:lineChart>
      <c:catAx>
        <c:axId val="151278687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loopIntensity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00452276"/>
        <c:crosses val="autoZero"/>
        <c:auto val="1"/>
        <c:lblAlgn val="ctr"/>
        <c:lblOffset val="100"/>
        <c:noMultiLvlLbl val="0"/>
      </c:catAx>
      <c:valAx>
        <c:axId val="110045227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Operações/s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in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1278687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28575</xdr:colOff>
      <xdr:row>19</xdr:row>
      <xdr:rowOff>151130</xdr:rowOff>
    </xdr:from>
    <xdr:ext cx="7165975" cy="4754245"/>
    <xdr:graphicFrame>
      <xdr:nvGraphicFramePr>
        <xdr:cNvPr id="2" name="Chart 1" title="Gráfico"/>
        <xdr:cNvGraphicFramePr/>
      </xdr:nvGraphicFramePr>
      <xdr:xfrm>
        <a:off x="28575" y="3951605"/>
        <a:ext cx="7165975" cy="4754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76200</xdr:colOff>
      <xdr:row>19</xdr:row>
      <xdr:rowOff>190500</xdr:rowOff>
    </xdr:from>
    <xdr:ext cx="7614920" cy="4733925"/>
    <xdr:graphicFrame>
      <xdr:nvGraphicFramePr>
        <xdr:cNvPr id="3" name="Chart 2" title="Gráfico"/>
        <xdr:cNvGraphicFramePr/>
      </xdr:nvGraphicFramePr>
      <xdr:xfrm>
        <a:off x="7336155" y="3990975"/>
        <a:ext cx="7614920" cy="4733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142875</xdr:colOff>
      <xdr:row>20</xdr:row>
      <xdr:rowOff>85725</xdr:rowOff>
    </xdr:from>
    <xdr:ext cx="8357235" cy="4657090"/>
    <xdr:graphicFrame>
      <xdr:nvGraphicFramePr>
        <xdr:cNvPr id="4" name="Chart 3" title="Gráfico"/>
        <xdr:cNvGraphicFramePr/>
      </xdr:nvGraphicFramePr>
      <xdr:xfrm>
        <a:off x="15354300" y="4086225"/>
        <a:ext cx="8357235" cy="4657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20</xdr:col>
      <xdr:colOff>38100</xdr:colOff>
      <xdr:row>20</xdr:row>
      <xdr:rowOff>114935</xdr:rowOff>
    </xdr:from>
    <xdr:ext cx="7503795" cy="4638040"/>
    <xdr:graphicFrame>
      <xdr:nvGraphicFramePr>
        <xdr:cNvPr id="5" name="Chart 4" title="Gráfico"/>
        <xdr:cNvGraphicFramePr/>
      </xdr:nvGraphicFramePr>
      <xdr:xfrm>
        <a:off x="24203025" y="4115435"/>
        <a:ext cx="7503795" cy="4638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74"/>
  <sheetViews>
    <sheetView tabSelected="1" topLeftCell="N28" workbookViewId="0">
      <selection activeCell="P46" sqref="P46:S63"/>
    </sheetView>
  </sheetViews>
  <sheetFormatPr defaultColWidth="12.6285714285714" defaultRowHeight="15.75" customHeight="1"/>
  <cols>
    <col min="1" max="1" width="15.2857142857143" customWidth="1"/>
    <col min="2" max="2" width="20.4285714285714" customWidth="1"/>
    <col min="3" max="3" width="17.5714285714286" customWidth="1"/>
    <col min="4" max="4" width="17.7142857142857" customWidth="1"/>
    <col min="8" max="8" width="15.8571428571429" customWidth="1"/>
    <col min="9" max="9" width="18.2857142857143" customWidth="1"/>
    <col min="10" max="10" width="16.5714285714286" customWidth="1"/>
    <col min="11" max="11" width="18.2857142857143" customWidth="1"/>
    <col min="13" max="13" width="16.1428571428571" customWidth="1"/>
    <col min="15" max="15" width="8.85714285714286" customWidth="1"/>
    <col min="16" max="16" width="37.1428571428571" customWidth="1"/>
    <col min="17" max="17" width="37.2857142857143" customWidth="1"/>
    <col min="18" max="18" width="35.8571428571429" customWidth="1"/>
    <col min="19" max="19" width="20" customWidth="1"/>
    <col min="20" max="20" width="4" customWidth="1"/>
    <col min="21" max="21" width="30.5714285714286" customWidth="1"/>
    <col min="22" max="22" width="31" customWidth="1"/>
    <col min="23" max="23" width="29" customWidth="1"/>
    <col min="24" max="24" width="15.7142857142857" customWidth="1"/>
  </cols>
  <sheetData>
    <row r="1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Q1" s="4"/>
      <c r="R1" s="22"/>
      <c r="S1" s="22"/>
      <c r="T1" s="23"/>
    </row>
    <row r="2" customHeight="1" spans="1:20">
      <c r="A2" s="2"/>
      <c r="B2" s="2"/>
      <c r="C2" s="2" t="s">
        <v>10</v>
      </c>
      <c r="D2" s="2" t="s">
        <v>10</v>
      </c>
      <c r="E2" s="2" t="s">
        <v>10</v>
      </c>
      <c r="F2" s="2" t="s">
        <v>10</v>
      </c>
      <c r="G2" s="2" t="s">
        <v>11</v>
      </c>
      <c r="H2" s="2" t="s">
        <v>11</v>
      </c>
      <c r="I2" s="2" t="s">
        <v>11</v>
      </c>
      <c r="J2" s="2" t="s">
        <v>11</v>
      </c>
      <c r="Q2" s="4"/>
      <c r="R2" s="24"/>
      <c r="S2" s="24"/>
      <c r="T2" s="25"/>
    </row>
    <row r="3" customHeight="1" spans="1:20">
      <c r="A3" s="2">
        <v>1000000</v>
      </c>
      <c r="B3" s="2">
        <v>1</v>
      </c>
      <c r="C3" s="2">
        <v>0.21208847</v>
      </c>
      <c r="D3" s="2">
        <v>0.04024872</v>
      </c>
      <c r="E3" s="2">
        <v>4715013.46</v>
      </c>
      <c r="F3" s="2">
        <v>40.5602</v>
      </c>
      <c r="G3" s="2">
        <v>0.51323765</v>
      </c>
      <c r="H3" s="2">
        <v>0.02888475</v>
      </c>
      <c r="I3" s="2">
        <v>1948415.12</v>
      </c>
      <c r="J3" s="2">
        <v>28.649</v>
      </c>
      <c r="Q3" s="4"/>
      <c r="R3" s="24"/>
      <c r="S3" s="24"/>
      <c r="T3" s="25"/>
    </row>
    <row r="4" customHeight="1" spans="1:20">
      <c r="A4" s="2">
        <v>1000000</v>
      </c>
      <c r="B4" s="2">
        <v>2</v>
      </c>
      <c r="C4" s="2">
        <v>0.2413038</v>
      </c>
      <c r="D4" s="2">
        <v>0.05266289</v>
      </c>
      <c r="E4" s="2">
        <v>4397159.68</v>
      </c>
      <c r="F4" s="2">
        <v>43.0572</v>
      </c>
      <c r="G4" s="2">
        <v>0.5173515</v>
      </c>
      <c r="H4" s="2">
        <v>0.02932405</v>
      </c>
      <c r="I4" s="2">
        <v>1932921.82</v>
      </c>
      <c r="J4" s="2">
        <v>28.8406</v>
      </c>
      <c r="Q4" s="4"/>
      <c r="R4" s="24"/>
      <c r="S4" s="24"/>
      <c r="T4" s="25"/>
    </row>
    <row r="5" customHeight="1" spans="1:20">
      <c r="A5" s="2">
        <v>1000000</v>
      </c>
      <c r="B5" s="2">
        <v>4</v>
      </c>
      <c r="C5" s="2">
        <v>0.23655354</v>
      </c>
      <c r="D5" s="2">
        <v>0.05187883</v>
      </c>
      <c r="E5" s="2">
        <v>4227372.73</v>
      </c>
      <c r="F5" s="2">
        <v>42.6386</v>
      </c>
      <c r="G5" s="2">
        <v>0.51399727</v>
      </c>
      <c r="H5" s="2">
        <v>0.02986205</v>
      </c>
      <c r="I5" s="2">
        <v>1945535.62</v>
      </c>
      <c r="J5" s="2">
        <v>28.8303</v>
      </c>
      <c r="Q5" s="4"/>
      <c r="R5" s="24"/>
      <c r="S5" s="24"/>
      <c r="T5" s="25"/>
    </row>
    <row r="6" customHeight="1" spans="1:20">
      <c r="A6" s="2">
        <v>1000000</v>
      </c>
      <c r="B6" s="2">
        <v>8</v>
      </c>
      <c r="C6" s="2">
        <v>0.23361406</v>
      </c>
      <c r="D6" s="2">
        <v>0.08813572</v>
      </c>
      <c r="E6" s="2">
        <v>4280564.37</v>
      </c>
      <c r="F6" s="2">
        <v>41.653</v>
      </c>
      <c r="G6" s="2">
        <v>0.51635874</v>
      </c>
      <c r="H6" s="2">
        <v>0.03141186</v>
      </c>
      <c r="I6" s="2">
        <v>1936638.07</v>
      </c>
      <c r="J6" s="2">
        <v>28.5788</v>
      </c>
      <c r="Q6" s="4"/>
      <c r="R6" s="24"/>
      <c r="S6" s="24"/>
      <c r="T6" s="25"/>
    </row>
    <row r="7" customHeight="1" spans="1:20">
      <c r="A7" s="2">
        <v>1000000</v>
      </c>
      <c r="B7" s="2">
        <v>16</v>
      </c>
      <c r="C7" s="2">
        <v>0.2144431</v>
      </c>
      <c r="D7" s="2">
        <v>0.07375281</v>
      </c>
      <c r="E7" s="2">
        <v>4663241.62</v>
      </c>
      <c r="F7" s="2">
        <v>42.1541</v>
      </c>
      <c r="G7" s="2">
        <v>0.51646319</v>
      </c>
      <c r="H7" s="2">
        <v>0.0351975</v>
      </c>
      <c r="I7" s="2">
        <v>1936246.43</v>
      </c>
      <c r="J7" s="2">
        <v>28.6737</v>
      </c>
      <c r="Q7" s="4"/>
      <c r="R7" s="24"/>
      <c r="S7" s="24"/>
      <c r="T7" s="25"/>
    </row>
    <row r="8" customHeight="1" spans="1:20">
      <c r="A8" s="2">
        <v>1000000</v>
      </c>
      <c r="B8" s="2">
        <v>32</v>
      </c>
      <c r="C8" s="2">
        <v>0.24073599</v>
      </c>
      <c r="D8" s="2">
        <v>0.09601027</v>
      </c>
      <c r="E8" s="2">
        <v>4153928.1</v>
      </c>
      <c r="F8" s="2">
        <v>40.8317</v>
      </c>
      <c r="G8" s="2">
        <v>0.53018054</v>
      </c>
      <c r="H8" s="2">
        <v>0.04690349</v>
      </c>
      <c r="I8" s="2">
        <v>1886149.96</v>
      </c>
      <c r="J8" s="2">
        <v>28.4594</v>
      </c>
      <c r="Q8" s="4"/>
      <c r="R8" s="24"/>
      <c r="S8" s="24"/>
      <c r="T8" s="25"/>
    </row>
    <row r="9" customHeight="1" spans="1:20">
      <c r="A9" s="2">
        <v>1000000</v>
      </c>
      <c r="B9" s="2">
        <v>64</v>
      </c>
      <c r="C9" s="2">
        <v>0.25914216</v>
      </c>
      <c r="D9" s="2">
        <v>0.11817451</v>
      </c>
      <c r="E9" s="2">
        <v>3858885.86</v>
      </c>
      <c r="F9" s="2">
        <v>38.9543</v>
      </c>
      <c r="G9" s="2">
        <v>0.54636578</v>
      </c>
      <c r="H9" s="2">
        <v>0.06810926</v>
      </c>
      <c r="I9" s="2">
        <v>1830275.68</v>
      </c>
      <c r="J9" s="2">
        <v>27.5141</v>
      </c>
      <c r="Q9" s="4"/>
      <c r="R9" s="24"/>
      <c r="S9" s="24"/>
      <c r="T9" s="25"/>
    </row>
    <row r="10" customHeight="1" spans="1:20">
      <c r="A10" s="2">
        <v>1000000</v>
      </c>
      <c r="B10" s="2">
        <v>128</v>
      </c>
      <c r="C10" s="2">
        <v>0.31221013</v>
      </c>
      <c r="D10" s="2">
        <v>0.16117249</v>
      </c>
      <c r="E10" s="2">
        <v>3202971.02</v>
      </c>
      <c r="F10" s="2">
        <v>40.0812</v>
      </c>
      <c r="G10" s="2">
        <v>0.59933056</v>
      </c>
      <c r="H10" s="2">
        <v>0.11535263</v>
      </c>
      <c r="I10" s="2">
        <v>1668528.3</v>
      </c>
      <c r="J10" s="2">
        <v>26.7505</v>
      </c>
      <c r="Q10" s="4"/>
      <c r="R10" s="24"/>
      <c r="S10" s="24"/>
      <c r="T10" s="25"/>
    </row>
    <row r="11" customHeight="1" spans="1:20">
      <c r="A11" s="2">
        <v>1000000</v>
      </c>
      <c r="B11" s="2">
        <v>256</v>
      </c>
      <c r="C11" s="2">
        <v>0.41490579</v>
      </c>
      <c r="D11" s="2">
        <v>0.26168477</v>
      </c>
      <c r="E11" s="2">
        <v>2410185.7</v>
      </c>
      <c r="F11" s="2">
        <v>33.1786</v>
      </c>
      <c r="G11" s="2">
        <v>0.69491033</v>
      </c>
      <c r="H11" s="2">
        <v>0.20386312</v>
      </c>
      <c r="I11" s="2">
        <v>1439034.58</v>
      </c>
      <c r="J11" s="2">
        <v>24.7641</v>
      </c>
      <c r="Q11" s="4"/>
      <c r="R11" s="24"/>
      <c r="S11" s="24"/>
      <c r="T11" s="25"/>
    </row>
    <row r="12" customHeight="1" spans="1:20">
      <c r="A12" s="2">
        <v>1000000</v>
      </c>
      <c r="B12" s="2">
        <v>512</v>
      </c>
      <c r="C12" s="2">
        <v>0.57725508</v>
      </c>
      <c r="D12" s="2">
        <v>0.45291945</v>
      </c>
      <c r="E12" s="2">
        <v>1732336.42</v>
      </c>
      <c r="F12" s="2">
        <v>25.1494</v>
      </c>
      <c r="G12" s="2">
        <v>0.86093589</v>
      </c>
      <c r="H12" s="2">
        <v>0.37723052</v>
      </c>
      <c r="I12" s="2">
        <v>1161526.67</v>
      </c>
      <c r="J12" s="2">
        <v>22.042</v>
      </c>
      <c r="Q12" s="4"/>
      <c r="R12" s="24"/>
      <c r="S12" s="24"/>
      <c r="T12" s="25"/>
    </row>
    <row r="13" customHeight="1" spans="1:20">
      <c r="A13" s="2">
        <v>1000000</v>
      </c>
      <c r="B13" s="2">
        <v>1024</v>
      </c>
      <c r="C13" s="2">
        <v>0.94915833</v>
      </c>
      <c r="D13" s="2">
        <v>0.85029107</v>
      </c>
      <c r="E13" s="2">
        <v>1053565</v>
      </c>
      <c r="F13" s="2">
        <v>20.3162</v>
      </c>
      <c r="G13" s="2">
        <v>1.19574593</v>
      </c>
      <c r="H13" s="2">
        <v>0.71790323</v>
      </c>
      <c r="I13" s="2">
        <v>836298.06</v>
      </c>
      <c r="J13" s="2">
        <v>18.4726</v>
      </c>
      <c r="Q13" s="4"/>
      <c r="R13" s="24"/>
      <c r="S13" s="24"/>
      <c r="T13" s="25"/>
    </row>
    <row r="14" customHeight="1" spans="1:20">
      <c r="A14" s="2">
        <v>1000000</v>
      </c>
      <c r="B14" s="2">
        <v>2048</v>
      </c>
      <c r="C14" s="2">
        <v>1.64687989</v>
      </c>
      <c r="D14" s="2">
        <v>1.56162709</v>
      </c>
      <c r="E14" s="2">
        <v>607208.82</v>
      </c>
      <c r="F14" s="2">
        <v>17.2706</v>
      </c>
      <c r="G14" s="2">
        <v>1.85952751</v>
      </c>
      <c r="H14" s="2">
        <v>1.40039713</v>
      </c>
      <c r="I14" s="2">
        <v>537771.02</v>
      </c>
      <c r="J14" s="2">
        <v>14.8794</v>
      </c>
      <c r="Q14" s="4"/>
      <c r="R14" s="24"/>
      <c r="S14" s="24"/>
      <c r="T14" s="25"/>
    </row>
    <row r="15" customHeight="1" spans="1:20">
      <c r="A15" s="2">
        <v>1000000</v>
      </c>
      <c r="B15" s="2">
        <v>4096</v>
      </c>
      <c r="C15" s="2">
        <v>2.96029647</v>
      </c>
      <c r="D15" s="2">
        <v>2.87523129</v>
      </c>
      <c r="E15" s="2">
        <v>337804</v>
      </c>
      <c r="F15" s="2">
        <v>15.0859</v>
      </c>
      <c r="G15" s="2">
        <v>3.17896608</v>
      </c>
      <c r="H15" s="2">
        <v>2.75566681</v>
      </c>
      <c r="I15" s="2">
        <v>314567.68</v>
      </c>
      <c r="J15" s="2">
        <v>11.8024</v>
      </c>
      <c r="Q15" s="4"/>
      <c r="R15" s="24"/>
      <c r="S15" s="24"/>
      <c r="T15" s="25"/>
    </row>
    <row r="16" customHeight="1" spans="1:20">
      <c r="A16" s="2">
        <v>1000000</v>
      </c>
      <c r="B16" s="2">
        <v>8129</v>
      </c>
      <c r="C16" s="2">
        <v>5.56528747</v>
      </c>
      <c r="D16" s="2">
        <v>5.47823358</v>
      </c>
      <c r="E16" s="2">
        <v>179685.24</v>
      </c>
      <c r="F16" s="2">
        <v>13.7673</v>
      </c>
      <c r="G16" s="2">
        <v>5.7823543</v>
      </c>
      <c r="H16" s="2">
        <v>5.42535712</v>
      </c>
      <c r="I16" s="2">
        <v>172939.94</v>
      </c>
      <c r="J16" s="2">
        <v>9.7553</v>
      </c>
      <c r="Q16" s="4"/>
      <c r="R16" s="26"/>
      <c r="S16" s="26"/>
      <c r="T16" s="27"/>
    </row>
    <row r="17" customHeight="1" spans="1:20">
      <c r="A17" s="2">
        <v>1000000</v>
      </c>
      <c r="B17" s="2">
        <v>16384</v>
      </c>
      <c r="C17" s="3">
        <v>11.17590762</v>
      </c>
      <c r="D17" s="3">
        <v>10.9198072</v>
      </c>
      <c r="E17" s="3">
        <v>89478.19</v>
      </c>
      <c r="F17" s="3">
        <v>11.8764</v>
      </c>
      <c r="G17" s="3">
        <v>11.10507709</v>
      </c>
      <c r="H17" s="3">
        <v>10.80698652</v>
      </c>
      <c r="I17" s="3">
        <v>90048.9</v>
      </c>
      <c r="J17" s="3">
        <v>8.4797</v>
      </c>
      <c r="Q17" s="15"/>
      <c r="R17" s="26"/>
      <c r="S17" s="26"/>
      <c r="T17" s="27"/>
    </row>
    <row r="18" customHeight="1" spans="1:20">
      <c r="A18" s="2">
        <v>1000000</v>
      </c>
      <c r="B18" s="3">
        <v>32768</v>
      </c>
      <c r="C18" s="3">
        <v>22.49124336</v>
      </c>
      <c r="D18" s="3">
        <v>21.7266979</v>
      </c>
      <c r="E18" s="3">
        <v>44461.75</v>
      </c>
      <c r="F18" s="3">
        <v>7.3007</v>
      </c>
      <c r="G18" s="3">
        <v>21.87909359</v>
      </c>
      <c r="H18" s="3">
        <v>21.60212092</v>
      </c>
      <c r="I18" s="3">
        <v>45705.73</v>
      </c>
      <c r="J18" s="3">
        <v>7.8935</v>
      </c>
      <c r="Q18" s="15"/>
      <c r="R18" s="26"/>
      <c r="S18" s="26"/>
      <c r="T18" s="27"/>
    </row>
    <row r="19" customHeight="1" spans="1:10">
      <c r="A19" s="3">
        <v>1000000</v>
      </c>
      <c r="B19" s="3">
        <v>65536</v>
      </c>
      <c r="C19" s="3">
        <v>44.10187132</v>
      </c>
      <c r="D19" s="3">
        <v>43.33576668</v>
      </c>
      <c r="E19" s="3">
        <v>22674.77</v>
      </c>
      <c r="F19" s="3">
        <v>6.8309</v>
      </c>
      <c r="G19" s="3">
        <v>43.33169515</v>
      </c>
      <c r="H19" s="3">
        <v>43.06706842</v>
      </c>
      <c r="I19" s="3">
        <v>23077.8</v>
      </c>
      <c r="J19" s="3">
        <v>7.4402</v>
      </c>
    </row>
    <row r="39" customHeight="1" spans="1:17">
      <c r="A39" s="4"/>
      <c r="B39" s="4"/>
      <c r="C39" s="4"/>
      <c r="D39" s="5"/>
      <c r="H39" s="4"/>
      <c r="I39" s="15"/>
      <c r="J39" s="15"/>
      <c r="O39" s="4"/>
      <c r="P39" s="20"/>
      <c r="Q39" s="20"/>
    </row>
    <row r="40" customHeight="1" spans="1:19">
      <c r="A40" s="4"/>
      <c r="B40" s="6"/>
      <c r="C40" s="6"/>
      <c r="D40" s="7"/>
      <c r="H40" s="4"/>
      <c r="I40" s="16"/>
      <c r="J40" s="16"/>
      <c r="O40" s="4"/>
      <c r="P40" s="21"/>
      <c r="Q40" s="4"/>
      <c r="R40" s="20"/>
      <c r="S40" s="20"/>
    </row>
    <row r="41" customHeight="1" spans="1:19">
      <c r="A41" s="4"/>
      <c r="B41" s="6"/>
      <c r="C41" s="6"/>
      <c r="D41" s="7"/>
      <c r="H41" s="4"/>
      <c r="I41" s="16"/>
      <c r="J41" s="16"/>
      <c r="O41" s="4"/>
      <c r="P41" s="21"/>
      <c r="Q41" s="4"/>
      <c r="R41" s="28"/>
      <c r="S41" s="28"/>
    </row>
    <row r="42" customHeight="1" spans="1:19">
      <c r="A42" s="4"/>
      <c r="B42" s="6"/>
      <c r="C42" s="6"/>
      <c r="D42" s="7"/>
      <c r="H42" s="4"/>
      <c r="I42" s="16"/>
      <c r="J42" s="16"/>
      <c r="O42" s="4"/>
      <c r="P42" s="21"/>
      <c r="Q42" s="4"/>
      <c r="R42" s="28"/>
      <c r="S42" s="28"/>
    </row>
    <row r="43" customHeight="1" spans="1:19">
      <c r="A43" s="4"/>
      <c r="B43" s="6"/>
      <c r="C43" s="6"/>
      <c r="D43" s="7"/>
      <c r="H43" s="4"/>
      <c r="I43" s="16"/>
      <c r="J43" s="16"/>
      <c r="O43" s="4"/>
      <c r="P43" s="21"/>
      <c r="Q43" s="4"/>
      <c r="R43" s="28"/>
      <c r="S43" s="28"/>
    </row>
    <row r="44" customHeight="1" spans="1:19">
      <c r="A44" s="4"/>
      <c r="B44" s="6"/>
      <c r="C44" s="6"/>
      <c r="D44" s="7"/>
      <c r="H44" s="4"/>
      <c r="I44" s="16"/>
      <c r="J44" s="16"/>
      <c r="O44" s="4"/>
      <c r="P44" s="21"/>
      <c r="Q44" s="4"/>
      <c r="R44" s="28"/>
      <c r="S44" s="28"/>
    </row>
    <row r="45" customHeight="1" spans="1:19">
      <c r="A45" s="4"/>
      <c r="B45" s="6"/>
      <c r="C45" s="6"/>
      <c r="D45" s="7"/>
      <c r="H45" s="4"/>
      <c r="I45" s="16"/>
      <c r="J45" s="16"/>
      <c r="O45" s="4"/>
      <c r="P45" s="21"/>
      <c r="Q45" s="4"/>
      <c r="R45" s="28"/>
      <c r="S45" s="28"/>
    </row>
    <row r="46" customHeight="1" spans="1:24">
      <c r="A46" s="8" t="s">
        <v>1</v>
      </c>
      <c r="B46" s="8" t="s">
        <v>2</v>
      </c>
      <c r="C46" s="8" t="s">
        <v>6</v>
      </c>
      <c r="D46" s="9" t="s">
        <v>12</v>
      </c>
      <c r="H46" s="8" t="s">
        <v>1</v>
      </c>
      <c r="I46" s="14" t="s">
        <v>5</v>
      </c>
      <c r="J46" s="14" t="s">
        <v>9</v>
      </c>
      <c r="K46" s="9" t="s">
        <v>12</v>
      </c>
      <c r="O46" s="4"/>
      <c r="P46" s="8" t="s">
        <v>1</v>
      </c>
      <c r="Q46" s="29" t="s">
        <v>3</v>
      </c>
      <c r="R46" s="29" t="s">
        <v>7</v>
      </c>
      <c r="S46" s="9" t="s">
        <v>12</v>
      </c>
      <c r="T46" s="4"/>
      <c r="U46" s="8" t="s">
        <v>1</v>
      </c>
      <c r="V46" s="29" t="s">
        <v>4</v>
      </c>
      <c r="W46" s="29" t="s">
        <v>8</v>
      </c>
      <c r="X46" s="9" t="s">
        <v>12</v>
      </c>
    </row>
    <row r="47" customHeight="1" spans="1:24">
      <c r="A47" s="8">
        <v>1</v>
      </c>
      <c r="B47" s="10">
        <v>0.21208847</v>
      </c>
      <c r="C47" s="10">
        <v>0.51323765</v>
      </c>
      <c r="D47" s="11">
        <f>((B47-C47)/B47)*100</f>
        <v>-141.99224502869</v>
      </c>
      <c r="H47" s="8">
        <v>1</v>
      </c>
      <c r="I47" s="17">
        <v>40.5602</v>
      </c>
      <c r="J47" s="17">
        <v>28.649</v>
      </c>
      <c r="K47" s="18">
        <f>((I47-J47)/I47)*100</f>
        <v>29.3667190990183</v>
      </c>
      <c r="O47" s="4"/>
      <c r="P47" s="8">
        <v>1</v>
      </c>
      <c r="Q47" s="30">
        <v>0.04024872</v>
      </c>
      <c r="R47" s="30">
        <v>0.02888475</v>
      </c>
      <c r="S47" s="31">
        <f>((Q47-R47)/Q47)*100</f>
        <v>28.2343637263496</v>
      </c>
      <c r="T47" s="4"/>
      <c r="U47" s="8">
        <v>1</v>
      </c>
      <c r="V47" s="34">
        <v>4715013.46</v>
      </c>
      <c r="W47" s="34">
        <v>1948415.12</v>
      </c>
      <c r="X47" s="18">
        <f>((V47-W47)/V47)*100</f>
        <v>58.6763614456362</v>
      </c>
    </row>
    <row r="48" customHeight="1" spans="1:24">
      <c r="A48" s="8">
        <v>2</v>
      </c>
      <c r="B48" s="10">
        <v>0.2413038</v>
      </c>
      <c r="C48" s="10">
        <v>0.5173515</v>
      </c>
      <c r="D48" s="11">
        <f t="shared" ref="D47:D63" si="0">((B48-C48)/B48)*100</f>
        <v>-114.398405661245</v>
      </c>
      <c r="H48" s="8">
        <v>2</v>
      </c>
      <c r="I48" s="17">
        <v>43.0572</v>
      </c>
      <c r="J48" s="17">
        <v>28.8406</v>
      </c>
      <c r="K48" s="18">
        <f t="shared" ref="K48:K63" si="1">((I48-J48)/I48)*100</f>
        <v>33.0179389277519</v>
      </c>
      <c r="O48" s="4"/>
      <c r="P48" s="8">
        <v>2</v>
      </c>
      <c r="Q48" s="30">
        <v>0.05266289</v>
      </c>
      <c r="R48" s="30">
        <v>0.02932405</v>
      </c>
      <c r="S48" s="31">
        <f t="shared" ref="S48:S63" si="2">((Q48-R48)/Q48)*100</f>
        <v>44.3174311170541</v>
      </c>
      <c r="T48" s="4"/>
      <c r="U48" s="8">
        <v>2</v>
      </c>
      <c r="V48" s="34">
        <v>4397159.68</v>
      </c>
      <c r="W48" s="34">
        <v>1932921.82</v>
      </c>
      <c r="X48" s="18">
        <f t="shared" ref="X48:X63" si="3">((V48-W48)/V48)*100</f>
        <v>56.0415822788587</v>
      </c>
    </row>
    <row r="49" customHeight="1" spans="1:24">
      <c r="A49" s="8">
        <v>4</v>
      </c>
      <c r="B49" s="10">
        <v>0.23655354</v>
      </c>
      <c r="C49" s="10">
        <v>0.51399727</v>
      </c>
      <c r="D49" s="11">
        <f t="shared" si="0"/>
        <v>-117.285807686497</v>
      </c>
      <c r="H49" s="8">
        <v>4</v>
      </c>
      <c r="I49" s="17">
        <v>42.6386</v>
      </c>
      <c r="J49" s="17">
        <v>28.8303</v>
      </c>
      <c r="K49" s="18">
        <f t="shared" si="1"/>
        <v>32.3845060578912</v>
      </c>
      <c r="O49" s="4"/>
      <c r="P49" s="8">
        <v>4</v>
      </c>
      <c r="Q49" s="30">
        <v>0.05187883</v>
      </c>
      <c r="R49" s="30">
        <v>0.02986205</v>
      </c>
      <c r="S49" s="31">
        <f t="shared" si="2"/>
        <v>42.4388522254646</v>
      </c>
      <c r="T49" s="4"/>
      <c r="U49" s="8">
        <v>4</v>
      </c>
      <c r="V49" s="34">
        <v>4227372.73</v>
      </c>
      <c r="W49" s="34">
        <v>1945535.62</v>
      </c>
      <c r="X49" s="18">
        <f t="shared" si="3"/>
        <v>53.9776654612616</v>
      </c>
    </row>
    <row r="50" customHeight="1" spans="1:24">
      <c r="A50" s="8">
        <v>8</v>
      </c>
      <c r="B50" s="10">
        <v>0.23361406</v>
      </c>
      <c r="C50" s="10">
        <v>0.51635874</v>
      </c>
      <c r="D50" s="11">
        <f t="shared" si="0"/>
        <v>-121.030677691231</v>
      </c>
      <c r="H50" s="8">
        <v>8</v>
      </c>
      <c r="I50" s="17">
        <v>41.653</v>
      </c>
      <c r="J50" s="17">
        <v>28.5788</v>
      </c>
      <c r="K50" s="18">
        <f t="shared" si="1"/>
        <v>31.388375387127</v>
      </c>
      <c r="O50" s="4"/>
      <c r="P50" s="8">
        <v>8</v>
      </c>
      <c r="Q50" s="30">
        <v>0.08813572</v>
      </c>
      <c r="R50" s="30">
        <v>0.03141186</v>
      </c>
      <c r="S50" s="31">
        <f t="shared" si="2"/>
        <v>64.3596716518569</v>
      </c>
      <c r="T50" s="4"/>
      <c r="U50" s="8">
        <v>8</v>
      </c>
      <c r="V50" s="34">
        <v>4280564.37</v>
      </c>
      <c r="W50" s="34">
        <v>1936638.07</v>
      </c>
      <c r="X50" s="18">
        <f t="shared" si="3"/>
        <v>54.7574127474224</v>
      </c>
    </row>
    <row r="51" customHeight="1" spans="1:24">
      <c r="A51" s="8">
        <v>16</v>
      </c>
      <c r="B51" s="10">
        <v>0.2144431</v>
      </c>
      <c r="C51" s="10">
        <v>0.51646319</v>
      </c>
      <c r="D51" s="11">
        <f t="shared" si="0"/>
        <v>-140.839266919756</v>
      </c>
      <c r="H51" s="8">
        <v>16</v>
      </c>
      <c r="I51" s="17">
        <v>42.1541</v>
      </c>
      <c r="J51" s="17">
        <v>28.6737</v>
      </c>
      <c r="K51" s="18">
        <f t="shared" si="1"/>
        <v>31.9788585214724</v>
      </c>
      <c r="O51" s="4"/>
      <c r="P51" s="8">
        <v>16</v>
      </c>
      <c r="Q51" s="30">
        <v>0.07375281</v>
      </c>
      <c r="R51" s="30">
        <v>0.0351975</v>
      </c>
      <c r="S51" s="31">
        <f t="shared" si="2"/>
        <v>52.2763946214388</v>
      </c>
      <c r="T51" s="4"/>
      <c r="U51" s="8">
        <v>16</v>
      </c>
      <c r="V51" s="34">
        <v>4663241.62</v>
      </c>
      <c r="W51" s="34">
        <v>1936246.43</v>
      </c>
      <c r="X51" s="18">
        <f t="shared" si="3"/>
        <v>58.4785308636871</v>
      </c>
    </row>
    <row r="52" customHeight="1" spans="1:24">
      <c r="A52" s="8">
        <v>32</v>
      </c>
      <c r="B52" s="10">
        <v>0.24073599</v>
      </c>
      <c r="C52" s="10">
        <v>0.53018054</v>
      </c>
      <c r="D52" s="11">
        <f t="shared" si="0"/>
        <v>-120.233185740113</v>
      </c>
      <c r="H52" s="8">
        <v>32</v>
      </c>
      <c r="I52" s="17">
        <v>40.8317</v>
      </c>
      <c r="J52" s="17">
        <v>28.4594</v>
      </c>
      <c r="K52" s="18">
        <f t="shared" si="1"/>
        <v>30.300722232971</v>
      </c>
      <c r="O52" s="4"/>
      <c r="P52" s="8">
        <v>32</v>
      </c>
      <c r="Q52" s="30">
        <v>0.09601027</v>
      </c>
      <c r="R52" s="30">
        <v>0.04690349</v>
      </c>
      <c r="S52" s="31">
        <f t="shared" si="2"/>
        <v>51.1474241245233</v>
      </c>
      <c r="T52" s="4"/>
      <c r="U52" s="8">
        <v>32</v>
      </c>
      <c r="V52" s="34">
        <v>4153928.1</v>
      </c>
      <c r="W52" s="34">
        <v>1886149.96</v>
      </c>
      <c r="X52" s="18">
        <f t="shared" si="3"/>
        <v>54.5935819158738</v>
      </c>
    </row>
    <row r="53" customHeight="1" spans="1:24">
      <c r="A53" s="8">
        <v>64</v>
      </c>
      <c r="B53" s="10">
        <v>0.25914216</v>
      </c>
      <c r="C53" s="10">
        <v>0.54636578</v>
      </c>
      <c r="D53" s="11">
        <f t="shared" si="0"/>
        <v>-110.836314708498</v>
      </c>
      <c r="H53" s="8">
        <v>64</v>
      </c>
      <c r="I53" s="17">
        <v>38.9543</v>
      </c>
      <c r="J53" s="17">
        <v>27.5141</v>
      </c>
      <c r="K53" s="18">
        <f t="shared" si="1"/>
        <v>29.3682597299913</v>
      </c>
      <c r="O53" s="4"/>
      <c r="P53" s="8">
        <v>64</v>
      </c>
      <c r="Q53" s="30">
        <v>0.11817451</v>
      </c>
      <c r="R53" s="30">
        <v>0.06810926</v>
      </c>
      <c r="S53" s="31">
        <f t="shared" si="2"/>
        <v>42.3655236649596</v>
      </c>
      <c r="T53" s="4"/>
      <c r="U53" s="8">
        <v>64</v>
      </c>
      <c r="V53" s="34">
        <v>3858885.86</v>
      </c>
      <c r="W53" s="34">
        <v>1830275.68</v>
      </c>
      <c r="X53" s="18">
        <f t="shared" si="3"/>
        <v>52.5698414930573</v>
      </c>
    </row>
    <row r="54" customHeight="1" spans="1:24">
      <c r="A54" s="8">
        <v>128</v>
      </c>
      <c r="B54" s="10">
        <v>0.31221013</v>
      </c>
      <c r="C54" s="10">
        <v>0.59933056</v>
      </c>
      <c r="D54" s="11">
        <f t="shared" si="0"/>
        <v>-91.9638417882213</v>
      </c>
      <c r="H54" s="8">
        <v>128</v>
      </c>
      <c r="I54" s="17">
        <v>40.0812</v>
      </c>
      <c r="J54" s="17">
        <v>26.7505</v>
      </c>
      <c r="K54" s="18">
        <f t="shared" si="1"/>
        <v>33.2592337554764</v>
      </c>
      <c r="O54" s="4"/>
      <c r="P54" s="8">
        <v>128</v>
      </c>
      <c r="Q54" s="30">
        <v>0.16117249</v>
      </c>
      <c r="R54" s="30">
        <v>0.11535263</v>
      </c>
      <c r="S54" s="31">
        <f t="shared" si="2"/>
        <v>28.4290824073016</v>
      </c>
      <c r="T54" s="4"/>
      <c r="U54" s="8">
        <v>128</v>
      </c>
      <c r="V54" s="34">
        <v>3202971.02</v>
      </c>
      <c r="W54" s="34">
        <v>1668528.3</v>
      </c>
      <c r="X54" s="18">
        <f t="shared" si="3"/>
        <v>47.9068561787986</v>
      </c>
    </row>
    <row r="55" customHeight="1" spans="1:24">
      <c r="A55" s="8">
        <v>256</v>
      </c>
      <c r="B55" s="10">
        <v>0.41490579</v>
      </c>
      <c r="C55" s="10">
        <v>0.69491033</v>
      </c>
      <c r="D55" s="11">
        <f t="shared" si="0"/>
        <v>-67.4862936957327</v>
      </c>
      <c r="H55" s="8">
        <v>256</v>
      </c>
      <c r="I55" s="17">
        <v>33.1786</v>
      </c>
      <c r="J55" s="17">
        <v>24.7641</v>
      </c>
      <c r="K55" s="18">
        <f t="shared" si="1"/>
        <v>25.3612268148747</v>
      </c>
      <c r="O55" s="15"/>
      <c r="P55" s="8">
        <v>256</v>
      </c>
      <c r="Q55" s="30">
        <v>0.26168477</v>
      </c>
      <c r="R55" s="30">
        <v>0.20386312</v>
      </c>
      <c r="S55" s="31">
        <f t="shared" si="2"/>
        <v>22.0959171601771</v>
      </c>
      <c r="T55" s="4"/>
      <c r="U55" s="8">
        <v>256</v>
      </c>
      <c r="V55" s="34">
        <v>2410185.7</v>
      </c>
      <c r="W55" s="34">
        <v>1439034.58</v>
      </c>
      <c r="X55" s="18">
        <f t="shared" si="3"/>
        <v>40.293622188531</v>
      </c>
    </row>
    <row r="56" customHeight="1" spans="1:24">
      <c r="A56" s="8">
        <v>512</v>
      </c>
      <c r="B56" s="10">
        <v>0.57725508</v>
      </c>
      <c r="C56" s="10">
        <v>0.86093589</v>
      </c>
      <c r="D56" s="11">
        <f t="shared" si="0"/>
        <v>-49.1430599450073</v>
      </c>
      <c r="H56" s="8">
        <v>512</v>
      </c>
      <c r="I56" s="17">
        <v>25.1494</v>
      </c>
      <c r="J56" s="17">
        <v>22.042</v>
      </c>
      <c r="K56" s="18">
        <f t="shared" si="1"/>
        <v>12.3557619664883</v>
      </c>
      <c r="O56" s="15"/>
      <c r="P56" s="8">
        <v>512</v>
      </c>
      <c r="Q56" s="30">
        <v>0.45291945</v>
      </c>
      <c r="R56" s="30">
        <v>0.37723052</v>
      </c>
      <c r="S56" s="31">
        <f t="shared" si="2"/>
        <v>16.7113445889771</v>
      </c>
      <c r="T56" s="4"/>
      <c r="U56" s="8">
        <v>512</v>
      </c>
      <c r="V56" s="34">
        <v>1732336.42</v>
      </c>
      <c r="W56" s="34">
        <v>1161526.67</v>
      </c>
      <c r="X56" s="18">
        <f t="shared" si="3"/>
        <v>32.9502828324766</v>
      </c>
    </row>
    <row r="57" customHeight="1" spans="1:24">
      <c r="A57" s="8">
        <v>1024</v>
      </c>
      <c r="B57" s="10">
        <v>0.94915833</v>
      </c>
      <c r="C57" s="10">
        <v>1.19574593</v>
      </c>
      <c r="D57" s="11">
        <f t="shared" si="0"/>
        <v>-25.9796065847096</v>
      </c>
      <c r="H57" s="8">
        <v>1024</v>
      </c>
      <c r="I57" s="17">
        <v>20.3162</v>
      </c>
      <c r="J57" s="17">
        <v>18.4726</v>
      </c>
      <c r="K57" s="18">
        <f t="shared" si="1"/>
        <v>9.07453165454169</v>
      </c>
      <c r="P57" s="8">
        <v>1024</v>
      </c>
      <c r="Q57" s="30">
        <v>0.85029107</v>
      </c>
      <c r="R57" s="30">
        <v>0.71790323</v>
      </c>
      <c r="S57" s="31">
        <f t="shared" si="2"/>
        <v>15.5697083823308</v>
      </c>
      <c r="T57" s="4"/>
      <c r="U57" s="8">
        <v>1024</v>
      </c>
      <c r="V57" s="34">
        <v>1053565</v>
      </c>
      <c r="W57" s="34">
        <v>836298.06</v>
      </c>
      <c r="X57" s="18">
        <f t="shared" si="3"/>
        <v>20.6220726770536</v>
      </c>
    </row>
    <row r="58" customHeight="1" spans="1:24">
      <c r="A58" s="8">
        <v>2048</v>
      </c>
      <c r="B58" s="10">
        <v>1.64687989</v>
      </c>
      <c r="C58" s="10">
        <v>1.85952751</v>
      </c>
      <c r="D58" s="11">
        <f t="shared" si="0"/>
        <v>-12.9121511101821</v>
      </c>
      <c r="H58" s="8">
        <v>2048</v>
      </c>
      <c r="I58" s="17">
        <v>17.2706</v>
      </c>
      <c r="J58" s="17">
        <v>14.8794</v>
      </c>
      <c r="K58" s="18">
        <f t="shared" si="1"/>
        <v>13.8454946556576</v>
      </c>
      <c r="P58" s="8">
        <v>2048</v>
      </c>
      <c r="Q58" s="30">
        <v>1.56162709</v>
      </c>
      <c r="R58" s="30">
        <v>1.40039713</v>
      </c>
      <c r="S58" s="31">
        <f t="shared" si="2"/>
        <v>10.3244853417598</v>
      </c>
      <c r="T58" s="4"/>
      <c r="U58" s="8">
        <v>2048</v>
      </c>
      <c r="V58" s="34">
        <v>607208.82</v>
      </c>
      <c r="W58" s="34">
        <v>537771.02</v>
      </c>
      <c r="X58" s="18">
        <f t="shared" si="3"/>
        <v>11.4355717033227</v>
      </c>
    </row>
    <row r="59" customHeight="1" spans="1:24">
      <c r="A59" s="8">
        <v>4096</v>
      </c>
      <c r="B59" s="10">
        <v>2.96029647</v>
      </c>
      <c r="C59" s="10">
        <v>3.17896608</v>
      </c>
      <c r="D59" s="11">
        <f t="shared" si="0"/>
        <v>-7.38674697673102</v>
      </c>
      <c r="H59" s="8">
        <v>4096</v>
      </c>
      <c r="I59" s="17">
        <v>15.0859</v>
      </c>
      <c r="J59" s="17">
        <v>11.8024</v>
      </c>
      <c r="K59" s="18">
        <f t="shared" si="1"/>
        <v>21.7653570552635</v>
      </c>
      <c r="P59" s="8">
        <v>4096</v>
      </c>
      <c r="Q59" s="30">
        <v>2.87523129</v>
      </c>
      <c r="R59" s="30">
        <v>2.75566681</v>
      </c>
      <c r="S59" s="31">
        <f t="shared" si="2"/>
        <v>4.15842998147115</v>
      </c>
      <c r="T59" s="4"/>
      <c r="U59" s="8">
        <v>4096</v>
      </c>
      <c r="V59" s="34">
        <v>337804</v>
      </c>
      <c r="W59" s="34">
        <v>314567.68</v>
      </c>
      <c r="X59" s="18">
        <f t="shared" si="3"/>
        <v>6.87863968455081</v>
      </c>
    </row>
    <row r="60" customHeight="1" spans="1:24">
      <c r="A60" s="12">
        <v>8192</v>
      </c>
      <c r="B60" s="10">
        <v>5.56528747</v>
      </c>
      <c r="C60" s="10">
        <v>5.7823543</v>
      </c>
      <c r="D60" s="11">
        <f t="shared" si="0"/>
        <v>-3.90037048706128</v>
      </c>
      <c r="H60" s="12">
        <v>8192</v>
      </c>
      <c r="I60" s="17">
        <v>13.7673</v>
      </c>
      <c r="J60" s="17">
        <v>9.7553</v>
      </c>
      <c r="K60" s="18">
        <f t="shared" si="1"/>
        <v>29.1415164919774</v>
      </c>
      <c r="P60" s="12">
        <v>8192</v>
      </c>
      <c r="Q60" s="30">
        <v>5.47823358</v>
      </c>
      <c r="R60" s="30">
        <v>5.42535712</v>
      </c>
      <c r="S60" s="31">
        <f t="shared" si="2"/>
        <v>0.965210030347049</v>
      </c>
      <c r="T60" s="4"/>
      <c r="U60" s="12">
        <v>8192</v>
      </c>
      <c r="V60" s="34">
        <v>179685.24</v>
      </c>
      <c r="W60" s="34">
        <v>172939.94</v>
      </c>
      <c r="X60" s="18">
        <f t="shared" si="3"/>
        <v>3.75395330189613</v>
      </c>
    </row>
    <row r="61" customHeight="1" spans="1:24">
      <c r="A61" s="8">
        <v>16384</v>
      </c>
      <c r="B61" s="13">
        <v>11.17590762</v>
      </c>
      <c r="C61" s="13">
        <v>11.10507709</v>
      </c>
      <c r="D61" s="11">
        <f t="shared" si="0"/>
        <v>0.633778771338844</v>
      </c>
      <c r="H61" s="8">
        <v>16384</v>
      </c>
      <c r="I61" s="19">
        <v>11.8764</v>
      </c>
      <c r="J61" s="19">
        <v>8.4797</v>
      </c>
      <c r="K61" s="18">
        <f t="shared" si="1"/>
        <v>28.6004176349736</v>
      </c>
      <c r="P61" s="8">
        <v>16384</v>
      </c>
      <c r="Q61" s="32">
        <v>10.9198072</v>
      </c>
      <c r="R61" s="32">
        <v>10.80698652</v>
      </c>
      <c r="S61" s="31">
        <f t="shared" si="2"/>
        <v>1.03317465165501</v>
      </c>
      <c r="T61" s="4"/>
      <c r="U61" s="8">
        <v>16384</v>
      </c>
      <c r="V61" s="35">
        <v>89478.19</v>
      </c>
      <c r="W61" s="35">
        <v>90048.9</v>
      </c>
      <c r="X61" s="18">
        <f t="shared" si="3"/>
        <v>-0.637820233064607</v>
      </c>
    </row>
    <row r="62" customHeight="1" spans="1:24">
      <c r="A62" s="14">
        <v>32768</v>
      </c>
      <c r="B62" s="13">
        <v>22.49124336</v>
      </c>
      <c r="C62" s="13">
        <v>21.87909359</v>
      </c>
      <c r="D62" s="11">
        <f t="shared" si="0"/>
        <v>2.72172489622645</v>
      </c>
      <c r="H62" s="14">
        <v>32768</v>
      </c>
      <c r="I62" s="19">
        <v>7.3007</v>
      </c>
      <c r="J62" s="19">
        <v>7.8935</v>
      </c>
      <c r="K62" s="18">
        <f t="shared" si="1"/>
        <v>-8.11976933718685</v>
      </c>
      <c r="P62" s="14">
        <v>32768</v>
      </c>
      <c r="Q62" s="32">
        <v>21.7266979</v>
      </c>
      <c r="R62" s="32">
        <v>21.60212092</v>
      </c>
      <c r="S62" s="31">
        <f t="shared" si="2"/>
        <v>0.573382023229588</v>
      </c>
      <c r="T62" s="15"/>
      <c r="U62" s="14">
        <v>32768</v>
      </c>
      <c r="V62" s="35">
        <v>44461.75</v>
      </c>
      <c r="W62" s="35">
        <v>45705.73</v>
      </c>
      <c r="X62" s="18">
        <f t="shared" si="3"/>
        <v>-2.79786558108937</v>
      </c>
    </row>
    <row r="63" customHeight="1" spans="1:24">
      <c r="A63" s="14">
        <v>65536</v>
      </c>
      <c r="B63" s="13">
        <v>44.10187132</v>
      </c>
      <c r="C63" s="13">
        <v>43.33169515</v>
      </c>
      <c r="D63" s="11">
        <f t="shared" si="0"/>
        <v>1.74635712033999</v>
      </c>
      <c r="H63" s="14">
        <v>65536</v>
      </c>
      <c r="I63" s="19">
        <v>6.8309</v>
      </c>
      <c r="J63" s="19">
        <v>7.4402</v>
      </c>
      <c r="K63" s="18">
        <f t="shared" si="1"/>
        <v>-8.91976167122927</v>
      </c>
      <c r="P63" s="14">
        <v>65536</v>
      </c>
      <c r="Q63" s="32">
        <v>43.33576668</v>
      </c>
      <c r="R63" s="32">
        <v>43.06706842</v>
      </c>
      <c r="S63" s="31">
        <f t="shared" si="2"/>
        <v>0.620038089978014</v>
      </c>
      <c r="T63" s="15"/>
      <c r="U63" s="14">
        <v>65536</v>
      </c>
      <c r="V63" s="35">
        <v>22674.77</v>
      </c>
      <c r="W63" s="35">
        <v>23077.8</v>
      </c>
      <c r="X63" s="18">
        <f t="shared" si="3"/>
        <v>-1.77743809529269</v>
      </c>
    </row>
    <row r="64" customHeight="1" spans="1:19">
      <c r="A64" s="4"/>
      <c r="B64" s="6"/>
      <c r="C64" s="6"/>
      <c r="D64" s="7"/>
      <c r="S64" s="33"/>
    </row>
    <row r="65" customHeight="1" spans="1:4">
      <c r="A65" s="4"/>
      <c r="B65" s="6"/>
      <c r="C65" s="6"/>
      <c r="D65" s="7"/>
    </row>
    <row r="66" customHeight="1" spans="1:4">
      <c r="A66" s="4"/>
      <c r="B66" s="6"/>
      <c r="C66" s="6"/>
      <c r="D66" s="7"/>
    </row>
    <row r="67" customHeight="1" spans="1:4">
      <c r="A67" s="4"/>
      <c r="B67" s="6"/>
      <c r="C67" s="6"/>
      <c r="D67" s="7"/>
    </row>
    <row r="68" customHeight="1" spans="1:4">
      <c r="A68" s="4"/>
      <c r="B68" s="6"/>
      <c r="C68" s="6"/>
      <c r="D68" s="7"/>
    </row>
    <row r="69" customHeight="1" spans="1:4">
      <c r="A69" s="4"/>
      <c r="B69" s="6"/>
      <c r="C69" s="6"/>
      <c r="D69" s="7"/>
    </row>
    <row r="70" customHeight="1" spans="1:4">
      <c r="A70" s="4"/>
      <c r="B70" s="6"/>
      <c r="C70" s="6"/>
      <c r="D70" s="7"/>
    </row>
    <row r="71" customHeight="1" spans="1:4">
      <c r="A71" s="4"/>
      <c r="B71" s="6"/>
      <c r="C71" s="6"/>
      <c r="D71" s="7"/>
    </row>
    <row r="72" customHeight="1" spans="1:4">
      <c r="A72" s="4"/>
      <c r="B72" s="36"/>
      <c r="C72" s="36"/>
      <c r="D72" s="7"/>
    </row>
    <row r="73" customHeight="1" spans="1:4">
      <c r="A73" s="15"/>
      <c r="B73" s="36"/>
      <c r="C73" s="36"/>
      <c r="D73" s="7"/>
    </row>
    <row r="74" customHeight="1" spans="1:4">
      <c r="A74" s="15"/>
      <c r="B74" s="36"/>
      <c r="C74" s="36"/>
      <c r="D74" s="7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Página1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Cesar Queiroz</cp:lastModifiedBy>
  <dcterms:created xsi:type="dcterms:W3CDTF">2025-10-20T10:01:00Z</dcterms:created>
  <dcterms:modified xsi:type="dcterms:W3CDTF">2025-10-23T14:14:53Z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